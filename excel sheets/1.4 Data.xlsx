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gostockton-my.sharepoint.com/personal/singhp4_go_stockton_edu/Documents/"/>
    </mc:Choice>
  </mc:AlternateContent>
  <xr:revisionPtr revIDLastSave="29" documentId="8_{B394CA2D-C3CF-A444-B2C9-ECE12CF479EC}" xr6:coauthVersionLast="47" xr6:coauthVersionMax="47" xr10:uidLastSave="{25485FC6-EAC1-0D4C-8ACD-FB27B0257AB2}"/>
  <bookViews>
    <workbookView xWindow="0" yWindow="500" windowWidth="28800" windowHeight="16280" activeTab="3" xr2:uid="{00000000-000D-0000-FFFF-FFFF00000000}"/>
  </bookViews>
  <sheets>
    <sheet name="1.5" sheetId="4" r:id="rId1"/>
    <sheet name="1.4 PivotTable" sheetId="3" r:id="rId2"/>
    <sheet name="1.4 St Dev" sheetId="1" r:id="rId3"/>
    <sheet name="1.3 St Dev" sheetId="2" r:id="rId4"/>
  </sheets>
  <calcPr calcId="191028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3" i="2"/>
  <c r="C3" i="2" s="1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A27" i="2"/>
  <c r="A29" i="2" s="1"/>
  <c r="B2" i="2" s="1"/>
  <c r="C2" i="2" s="1"/>
  <c r="C28" i="2" s="1"/>
  <c r="C30" i="2" s="1"/>
  <c r="C32" i="2" s="1"/>
</calcChain>
</file>

<file path=xl/sharedStrings.xml><?xml version="1.0" encoding="utf-8"?>
<sst xmlns="http://schemas.openxmlformats.org/spreadsheetml/2006/main" count="18" uniqueCount="18">
  <si>
    <t>stock data</t>
  </si>
  <si>
    <t>STND Dev</t>
  </si>
  <si>
    <t>divided by25</t>
  </si>
  <si>
    <t>sum</t>
  </si>
  <si>
    <t>squared</t>
  </si>
  <si>
    <t>varaiances</t>
  </si>
  <si>
    <t>soil</t>
  </si>
  <si>
    <t>St Dev</t>
  </si>
  <si>
    <t>Row Labels</t>
  </si>
  <si>
    <t>Grand Total</t>
  </si>
  <si>
    <t>Count of stock data</t>
  </si>
  <si>
    <t>2.61-4.61</t>
  </si>
  <si>
    <t>4.61-6.61</t>
  </si>
  <si>
    <t>6.61-8.61</t>
  </si>
  <si>
    <t>10.61-12.61</t>
  </si>
  <si>
    <t>a: 2.45-2.65 and 2.65-2.85</t>
  </si>
  <si>
    <t xml:space="preserve">b: 7/30 in each category </t>
  </si>
  <si>
    <t>c: 16/30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</si>
</sst>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[1.4 Data.xlsx]1.4 PivotTable!PivotTable2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'1.4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'1.4 PivotTable'!$A$4:$A$8</c:f>
              <c:strCache>
                <c:ptCount val="4"/>
                <c:pt idx="0">
                  <c:v>2.61-4.61</c:v>
                </c:pt>
                <c:pt idx="1">
                  <c:v>4.61-6.61</c:v>
                </c:pt>
                <c:pt idx="2">
                  <c:v>6.61-8.61</c:v>
                </c:pt>
                <c:pt idx="3">
                  <c:v>10.61-12.61</c:v>
                </c:pt>
              </c:strCache>
            </c:strRef>
          </c:cat>
          <c:val>
            <c:numRef>
              <c:f>'1.4 PivotTable'!$B$4:$B$8</c:f>
              <c:numCache>
                <c:formatCode>0.000%</c:formatCode>
                <c:ptCount val="4"/>
                <c:pt idx="0">
                  <c:v>0.65</c:v>
                </c:pt>
                <c:pt idx="1">
                  <c:v>0.25</c:v>
                </c:pt>
                <c:pt idx="2">
                  <c:v>7.4999999999999997E-2</c:v>
                </c:pt>
                <c:pt idx="3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2-E44D-85AB-A8D996C07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062847"/>
        <c:axId val="811533951"/>
      </c:barChart>
      <c:catAx>
        <c:axId val="11110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33951"/>
        <c:crosses val="autoZero"/>
        <c:auto val="1"/>
        <c:lblAlgn val="ctr"/>
        <c:lblOffset val="100"/>
        <c:noMultiLvlLbl val="0"/>
      </c:catAx>
      <c:valAx>
        <c:axId val="8115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6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177800</xdr:colOff>
      <xdr:row>12</xdr:row>
      <xdr:rowOff>6350</xdr:rowOff>
    </xdr:from>
    <xdr:to>
      <xdr:col>10</xdr:col>
      <xdr:colOff>622300</xdr:colOff>
      <xdr:row>26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83236-5897-8DD4-4509-8FEC6B439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jal Singh" refreshedDate="45547.690668055555" createdVersion="8" refreshedVersion="8" minRefreshableVersion="3" recordCount="41" xr:uid="{3716B5BA-ED8D-AB4E-A40C-8C136F89BA53}">
  <cacheSource type="worksheet">
    <worksheetSource ref="A1:A1048576" sheet="1.4 St Dev"/>
  </cacheSource>
  <cacheFields count="1">
    <cacheField name="stock data" numFmtId="0">
      <sharedItems containsString="0" containsBlank="1" containsNumber="1" minValue="2.61" maxValue="11.88" count="40">
        <n v="11.88"/>
        <n v="6.27"/>
        <n v="5.49"/>
        <n v="4.8099999999999996"/>
        <n v="4.4000000000000004"/>
        <n v="3.78"/>
        <n v="3.44"/>
        <n v="3.11"/>
        <n v="2.88"/>
        <n v="2.68"/>
        <n v="7.99"/>
        <n v="6.07"/>
        <n v="5.26"/>
        <n v="4.79"/>
        <n v="4.05"/>
        <n v="3.69"/>
        <n v="3.36"/>
        <n v="3.03"/>
        <n v="2.74"/>
        <n v="2.63"/>
        <n v="7.15"/>
        <n v="5.98"/>
        <n v="5.07"/>
        <n v="4.55"/>
        <n v="3.94"/>
        <n v="3.62"/>
        <n v="3.26"/>
        <n v="2.99"/>
        <n v="2.62"/>
        <n v="7.13"/>
        <n v="5.91"/>
        <n v="4.9400000000000004"/>
        <n v="4.43"/>
        <n v="3.93"/>
        <n v="3.48"/>
        <n v="3.2"/>
        <n v="2.89"/>
        <n v="2.69"/>
        <n v="2.61"/>
        <m/>
      </sharedItems>
      <fieldGroup base="0">
        <rangePr startNum="2.61" endNum="11.88" groupInterval="2"/>
        <groupItems count="7">
          <s v="(blank)"/>
          <s v="2.61-4.61"/>
          <s v="4.61-6.61"/>
          <s v="6.61-8.61"/>
          <s v="8.61-10.61"/>
          <s v="10.61-12.61"/>
          <s v="&gt;12.6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18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5D1C6-D622-7C4A-B627-FAEF6ECD893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">
    <pivotField axis="axisRow" dataField="1" showAll="0">
      <items count="8">
        <item h="1"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5"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Count of stock data" fld="0" subtotal="count" showDataAs="percentOfTotal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B795-50B3-1148-B88E-1723F7D7B09F}">
  <dimension ref="A1:A3"/>
  <sheetViews>
    <sheetView workbookViewId="0"/>
  </sheetViews>
  <sheetFormatPr baseColWidth="10" defaultRowHeight="15" x14ac:dyDescent="0.2"/>
  <cols>
    <col min="1" max="1" width="83.6640625" customWidth="1"/>
  </cols>
  <sheetData>
    <row r="1" spans="1:1" ht="16" x14ac:dyDescent="0.2">
      <c r="A1" s="4" t="s">
        <v>15</v>
      </c>
    </row>
    <row r="2" spans="1:1" ht="16" x14ac:dyDescent="0.2">
      <c r="A2" s="4" t="s">
        <v>16</v>
      </c>
    </row>
    <row r="3" spans="1:1" ht="16" x14ac:dyDescent="0.2">
      <c r="A3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4C8E-B340-E34C-9937-7BDDA976F141}">
  <dimension ref="A3:B8"/>
  <sheetViews>
    <sheetView workbookViewId="0">
      <selection activeCell="D20" sqref="D20"/>
    </sheetView>
  </sheetViews>
  <sheetFormatPr baseColWidth="10" defaultRowHeight="15" x14ac:dyDescent="0.2"/>
  <cols>
    <col min="1" max="1" width="12.1640625" bestFit="1" customWidth="1"/>
    <col min="2" max="2" width="16" bestFit="1" customWidth="1"/>
  </cols>
  <sheetData>
    <row r="3" spans="1:2" x14ac:dyDescent="0.2">
      <c r="A3" s="1" t="s">
        <v>8</v>
      </c>
      <c r="B3" t="s">
        <v>10</v>
      </c>
    </row>
    <row r="4" spans="1:2" x14ac:dyDescent="0.2">
      <c r="A4" s="2" t="s">
        <v>11</v>
      </c>
      <c r="B4" s="3">
        <v>0.65</v>
      </c>
    </row>
    <row r="5" spans="1:2" x14ac:dyDescent="0.2">
      <c r="A5" s="2" t="s">
        <v>12</v>
      </c>
      <c r="B5" s="3">
        <v>0.25</v>
      </c>
    </row>
    <row r="6" spans="1:2" x14ac:dyDescent="0.2">
      <c r="A6" s="2" t="s">
        <v>13</v>
      </c>
      <c r="B6" s="3">
        <v>7.4999999999999997E-2</v>
      </c>
    </row>
    <row r="7" spans="1:2" x14ac:dyDescent="0.2">
      <c r="A7" s="2" t="s">
        <v>14</v>
      </c>
      <c r="B7" s="3">
        <v>2.5000000000000001E-2</v>
      </c>
    </row>
    <row r="8" spans="1:2" x14ac:dyDescent="0.2">
      <c r="A8" s="2" t="s">
        <v>9</v>
      </c>
      <c r="B8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055A-FC5C-ED4A-B450-4CC610A67089}">
  <dimension ref="A1:C41"/>
  <sheetViews>
    <sheetView zoomScaleNormal="100" zoomScaleSheetLayoutView="100" workbookViewId="0">
      <selection sqref="A1:A1048576"/>
    </sheetView>
  </sheetViews>
  <sheetFormatPr baseColWidth="10" defaultColWidth="8.83203125" defaultRowHeight="15" x14ac:dyDescent="0.2"/>
  <sheetData>
    <row r="1" spans="1:3" x14ac:dyDescent="0.2">
      <c r="A1" t="s">
        <v>0</v>
      </c>
      <c r="C1" t="s">
        <v>7</v>
      </c>
    </row>
    <row r="2" spans="1:3" x14ac:dyDescent="0.2">
      <c r="A2">
        <v>11.88</v>
      </c>
      <c r="C2">
        <f xml:space="preserve"> STDEV(A2:A41)</f>
        <v>1.8713839661378813</v>
      </c>
    </row>
    <row r="3" spans="1:3" x14ac:dyDescent="0.2">
      <c r="A3">
        <v>6.27</v>
      </c>
    </row>
    <row r="4" spans="1:3" x14ac:dyDescent="0.2">
      <c r="A4">
        <v>5.49</v>
      </c>
    </row>
    <row r="5" spans="1:3" x14ac:dyDescent="0.2">
      <c r="A5">
        <v>4.8099999999999996</v>
      </c>
    </row>
    <row r="6" spans="1:3" x14ac:dyDescent="0.2">
      <c r="A6">
        <v>4.4000000000000004</v>
      </c>
    </row>
    <row r="7" spans="1:3" x14ac:dyDescent="0.2">
      <c r="A7">
        <v>3.78</v>
      </c>
    </row>
    <row r="8" spans="1:3" x14ac:dyDescent="0.2">
      <c r="A8">
        <v>3.44</v>
      </c>
    </row>
    <row r="9" spans="1:3" x14ac:dyDescent="0.2">
      <c r="A9">
        <v>3.11</v>
      </c>
    </row>
    <row r="10" spans="1:3" x14ac:dyDescent="0.2">
      <c r="A10">
        <v>2.88</v>
      </c>
    </row>
    <row r="11" spans="1:3" x14ac:dyDescent="0.2">
      <c r="A11">
        <v>2.68</v>
      </c>
    </row>
    <row r="12" spans="1:3" x14ac:dyDescent="0.2">
      <c r="A12">
        <v>7.99</v>
      </c>
    </row>
    <row r="13" spans="1:3" x14ac:dyDescent="0.2">
      <c r="A13">
        <v>6.07</v>
      </c>
    </row>
    <row r="14" spans="1:3" x14ac:dyDescent="0.2">
      <c r="A14">
        <v>5.26</v>
      </c>
    </row>
    <row r="15" spans="1:3" x14ac:dyDescent="0.2">
      <c r="A15">
        <v>4.79</v>
      </c>
    </row>
    <row r="16" spans="1:3" x14ac:dyDescent="0.2">
      <c r="A16">
        <v>4.05</v>
      </c>
    </row>
    <row r="17" spans="1:1" x14ac:dyDescent="0.2">
      <c r="A17">
        <v>3.69</v>
      </c>
    </row>
    <row r="18" spans="1:1" x14ac:dyDescent="0.2">
      <c r="A18">
        <v>3.36</v>
      </c>
    </row>
    <row r="19" spans="1:1" x14ac:dyDescent="0.2">
      <c r="A19">
        <v>3.03</v>
      </c>
    </row>
    <row r="20" spans="1:1" x14ac:dyDescent="0.2">
      <c r="A20">
        <v>2.74</v>
      </c>
    </row>
    <row r="21" spans="1:1" x14ac:dyDescent="0.2">
      <c r="A21">
        <v>2.63</v>
      </c>
    </row>
    <row r="22" spans="1:1" x14ac:dyDescent="0.2">
      <c r="A22">
        <v>7.15</v>
      </c>
    </row>
    <row r="23" spans="1:1" x14ac:dyDescent="0.2">
      <c r="A23">
        <v>5.98</v>
      </c>
    </row>
    <row r="24" spans="1:1" x14ac:dyDescent="0.2">
      <c r="A24">
        <v>5.07</v>
      </c>
    </row>
    <row r="25" spans="1:1" x14ac:dyDescent="0.2">
      <c r="A25">
        <v>4.55</v>
      </c>
    </row>
    <row r="26" spans="1:1" x14ac:dyDescent="0.2">
      <c r="A26">
        <v>3.94</v>
      </c>
    </row>
    <row r="27" spans="1:1" x14ac:dyDescent="0.2">
      <c r="A27">
        <v>3.62</v>
      </c>
    </row>
    <row r="28" spans="1:1" x14ac:dyDescent="0.2">
      <c r="A28">
        <v>3.26</v>
      </c>
    </row>
    <row r="29" spans="1:1" x14ac:dyDescent="0.2">
      <c r="A29">
        <v>2.99</v>
      </c>
    </row>
    <row r="30" spans="1:1" x14ac:dyDescent="0.2">
      <c r="A30">
        <v>2.74</v>
      </c>
    </row>
    <row r="31" spans="1:1" x14ac:dyDescent="0.2">
      <c r="A31">
        <v>2.62</v>
      </c>
    </row>
    <row r="32" spans="1:1" x14ac:dyDescent="0.2">
      <c r="A32">
        <v>7.13</v>
      </c>
    </row>
    <row r="33" spans="1:1" x14ac:dyDescent="0.2">
      <c r="A33">
        <v>5.91</v>
      </c>
    </row>
    <row r="34" spans="1:1" x14ac:dyDescent="0.2">
      <c r="A34">
        <v>4.9400000000000004</v>
      </c>
    </row>
    <row r="35" spans="1:1" x14ac:dyDescent="0.2">
      <c r="A35">
        <v>4.43</v>
      </c>
    </row>
    <row r="36" spans="1:1" x14ac:dyDescent="0.2">
      <c r="A36">
        <v>3.93</v>
      </c>
    </row>
    <row r="37" spans="1:1" x14ac:dyDescent="0.2">
      <c r="A37">
        <v>3.48</v>
      </c>
    </row>
    <row r="38" spans="1:1" x14ac:dyDescent="0.2">
      <c r="A38">
        <v>3.2</v>
      </c>
    </row>
    <row r="39" spans="1:1" x14ac:dyDescent="0.2">
      <c r="A39">
        <v>2.89</v>
      </c>
    </row>
    <row r="40" spans="1:1" x14ac:dyDescent="0.2">
      <c r="A40">
        <v>2.69</v>
      </c>
    </row>
    <row r="41" spans="1:1" x14ac:dyDescent="0.2">
      <c r="A41">
        <v>2.61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B66B-4FE4-CF47-842C-05F7FAB70F64}">
  <dimension ref="A1:C32"/>
  <sheetViews>
    <sheetView tabSelected="1" zoomScaleNormal="100" zoomScaleSheetLayoutView="100" workbookViewId="0">
      <selection activeCell="H18" sqref="H18"/>
    </sheetView>
  </sheetViews>
  <sheetFormatPr baseColWidth="10" defaultColWidth="8.83203125" defaultRowHeight="15" x14ac:dyDescent="0.2"/>
  <sheetData>
    <row r="1" spans="1:3" x14ac:dyDescent="0.2">
      <c r="A1" t="s">
        <v>6</v>
      </c>
      <c r="B1" t="s">
        <v>5</v>
      </c>
      <c r="C1" t="s">
        <v>4</v>
      </c>
    </row>
    <row r="2" spans="1:3" x14ac:dyDescent="0.2">
      <c r="A2">
        <v>0.74</v>
      </c>
      <c r="B2">
        <f>A2-A29</f>
        <v>-2.3611538461538464</v>
      </c>
      <c r="C2">
        <f>B2*B2</f>
        <v>5.5750474852071017</v>
      </c>
    </row>
    <row r="3" spans="1:3" x14ac:dyDescent="0.2">
      <c r="A3">
        <v>6.47</v>
      </c>
      <c r="B3">
        <f>A3-A30</f>
        <v>6.47</v>
      </c>
      <c r="C3">
        <f>B3*B3</f>
        <v>41.860899999999994</v>
      </c>
    </row>
    <row r="4" spans="1:3" x14ac:dyDescent="0.2">
      <c r="A4">
        <v>1.9</v>
      </c>
      <c r="B4">
        <f>A4-A31</f>
        <v>1.9</v>
      </c>
      <c r="C4">
        <f>B4*B4</f>
        <v>3.61</v>
      </c>
    </row>
    <row r="5" spans="1:3" x14ac:dyDescent="0.2">
      <c r="A5">
        <v>2.69</v>
      </c>
      <c r="B5">
        <f>A5-A32</f>
        <v>2.69</v>
      </c>
      <c r="C5">
        <f>B5*B5</f>
        <v>7.2360999999999995</v>
      </c>
    </row>
    <row r="6" spans="1:3" x14ac:dyDescent="0.2">
      <c r="A6">
        <v>0.75</v>
      </c>
      <c r="B6">
        <f>A6-A33</f>
        <v>0.75</v>
      </c>
      <c r="C6">
        <f>B6*B6</f>
        <v>0.5625</v>
      </c>
    </row>
    <row r="7" spans="1:3" x14ac:dyDescent="0.2">
      <c r="A7">
        <v>0.32</v>
      </c>
      <c r="B7">
        <f>A7-A34</f>
        <v>0.32</v>
      </c>
      <c r="C7">
        <f>B7*B7</f>
        <v>0.1024</v>
      </c>
    </row>
    <row r="8" spans="1:3" x14ac:dyDescent="0.2">
      <c r="A8">
        <v>9.99</v>
      </c>
      <c r="B8">
        <f>A8-A35</f>
        <v>9.99</v>
      </c>
      <c r="C8">
        <f>B8*B8</f>
        <v>99.8001</v>
      </c>
    </row>
    <row r="9" spans="1:3" x14ac:dyDescent="0.2">
      <c r="A9">
        <v>1.77</v>
      </c>
      <c r="B9">
        <f>A9-A36</f>
        <v>1.77</v>
      </c>
      <c r="C9">
        <f>B9*B9</f>
        <v>3.1329000000000002</v>
      </c>
    </row>
    <row r="10" spans="1:3" x14ac:dyDescent="0.2">
      <c r="A10">
        <v>2.41</v>
      </c>
      <c r="B10">
        <f>A10-A37</f>
        <v>2.41</v>
      </c>
      <c r="C10">
        <f>B10*B10</f>
        <v>5.8081000000000005</v>
      </c>
    </row>
    <row r="11" spans="1:3" x14ac:dyDescent="0.2">
      <c r="A11">
        <v>1.96</v>
      </c>
      <c r="B11">
        <f>A11-A38</f>
        <v>1.96</v>
      </c>
      <c r="C11">
        <f>B11*B11</f>
        <v>3.8415999999999997</v>
      </c>
    </row>
    <row r="12" spans="1:3" x14ac:dyDescent="0.2">
      <c r="A12">
        <v>1.66</v>
      </c>
      <c r="B12">
        <f>A12-A39</f>
        <v>1.66</v>
      </c>
      <c r="C12">
        <f>B12*B12</f>
        <v>2.7555999999999998</v>
      </c>
    </row>
    <row r="13" spans="1:3" x14ac:dyDescent="0.2">
      <c r="A13">
        <v>0.7</v>
      </c>
      <c r="B13">
        <f>A13-A40</f>
        <v>0.7</v>
      </c>
      <c r="C13">
        <f>B13*B13</f>
        <v>0.48999999999999994</v>
      </c>
    </row>
    <row r="14" spans="1:3" x14ac:dyDescent="0.2">
      <c r="A14">
        <v>2.42</v>
      </c>
      <c r="B14">
        <f>A14-A41</f>
        <v>2.42</v>
      </c>
      <c r="C14">
        <f>B14*B14</f>
        <v>5.8563999999999998</v>
      </c>
    </row>
    <row r="15" spans="1:3" x14ac:dyDescent="0.2">
      <c r="A15">
        <v>0.54</v>
      </c>
      <c r="B15">
        <f>A15-A42</f>
        <v>0.54</v>
      </c>
      <c r="C15">
        <f>B15*B15</f>
        <v>0.29160000000000003</v>
      </c>
    </row>
    <row r="16" spans="1:3" x14ac:dyDescent="0.2">
      <c r="A16">
        <v>3.36</v>
      </c>
      <c r="B16">
        <f>A16-A43</f>
        <v>3.36</v>
      </c>
      <c r="C16">
        <f>B16*B16</f>
        <v>11.289599999999998</v>
      </c>
    </row>
    <row r="17" spans="1:3" x14ac:dyDescent="0.2">
      <c r="A17">
        <v>3.59</v>
      </c>
      <c r="B17">
        <f>A17-A44</f>
        <v>3.59</v>
      </c>
      <c r="C17">
        <f>B17*B17</f>
        <v>12.8881</v>
      </c>
    </row>
    <row r="18" spans="1:3" x14ac:dyDescent="0.2">
      <c r="A18">
        <v>0.37</v>
      </c>
      <c r="B18">
        <f>A18-A45</f>
        <v>0.37</v>
      </c>
      <c r="C18">
        <f>B18*B18</f>
        <v>0.13689999999999999</v>
      </c>
    </row>
    <row r="19" spans="1:3" x14ac:dyDescent="0.2">
      <c r="A19">
        <v>1.0900000000000001</v>
      </c>
      <c r="B19">
        <f>A19-A46</f>
        <v>1.0900000000000001</v>
      </c>
      <c r="C19">
        <f>B19*B19</f>
        <v>1.1881000000000002</v>
      </c>
    </row>
    <row r="20" spans="1:3" x14ac:dyDescent="0.2">
      <c r="A20">
        <v>8.32</v>
      </c>
      <c r="B20">
        <f>A20-A47</f>
        <v>8.32</v>
      </c>
      <c r="C20">
        <f>B20*B20</f>
        <v>69.222400000000007</v>
      </c>
    </row>
    <row r="21" spans="1:3" x14ac:dyDescent="0.2">
      <c r="A21">
        <v>4.0599999999999996</v>
      </c>
      <c r="B21">
        <f>A21-A48</f>
        <v>4.0599999999999996</v>
      </c>
      <c r="C21">
        <f>B21*B21</f>
        <v>16.483599999999996</v>
      </c>
    </row>
    <row r="22" spans="1:3" x14ac:dyDescent="0.2">
      <c r="A22">
        <v>4.55</v>
      </c>
      <c r="B22">
        <f>A22-A49</f>
        <v>4.55</v>
      </c>
      <c r="C22">
        <f>B22*B22</f>
        <v>20.702499999999997</v>
      </c>
    </row>
    <row r="23" spans="1:3" x14ac:dyDescent="0.2">
      <c r="A23">
        <v>0.76</v>
      </c>
      <c r="B23">
        <f>A23-A50</f>
        <v>0.76</v>
      </c>
      <c r="C23">
        <f>B23*B23</f>
        <v>0.5776</v>
      </c>
    </row>
    <row r="24" spans="1:3" x14ac:dyDescent="0.2">
      <c r="A24">
        <v>2.0299999999999998</v>
      </c>
      <c r="B24">
        <f>A24-A51</f>
        <v>2.0299999999999998</v>
      </c>
      <c r="C24">
        <f>B24*B24</f>
        <v>4.1208999999999989</v>
      </c>
    </row>
    <row r="25" spans="1:3" x14ac:dyDescent="0.2">
      <c r="A25">
        <v>5.7</v>
      </c>
      <c r="B25">
        <f>A25-A52</f>
        <v>5.7</v>
      </c>
      <c r="C25">
        <f>B25*B25</f>
        <v>32.49</v>
      </c>
    </row>
    <row r="26" spans="1:3" x14ac:dyDescent="0.2">
      <c r="A26">
        <v>12.48</v>
      </c>
      <c r="B26">
        <f>A26-A53</f>
        <v>12.48</v>
      </c>
      <c r="C26">
        <f>B26*B26</f>
        <v>155.75040000000001</v>
      </c>
    </row>
    <row r="27" spans="1:3" x14ac:dyDescent="0.2">
      <c r="A27">
        <f>SUM(A2:A26,)</f>
        <v>80.63</v>
      </c>
      <c r="C27" t="s">
        <v>3</v>
      </c>
    </row>
    <row r="28" spans="1:3" x14ac:dyDescent="0.2">
      <c r="C28">
        <f>SUM(C2:C26)</f>
        <v>505.77334748520713</v>
      </c>
    </row>
    <row r="29" spans="1:3" x14ac:dyDescent="0.2">
      <c r="A29">
        <f>A27/26</f>
        <v>3.1011538461538461</v>
      </c>
      <c r="C29" t="s">
        <v>2</v>
      </c>
    </row>
    <row r="30" spans="1:3" x14ac:dyDescent="0.2">
      <c r="C30">
        <f>C28/25</f>
        <v>20.230933899408285</v>
      </c>
    </row>
    <row r="31" spans="1:3" x14ac:dyDescent="0.2">
      <c r="C31" t="s">
        <v>1</v>
      </c>
    </row>
    <row r="32" spans="1:3" x14ac:dyDescent="0.2">
      <c r="C32">
        <f>SQRT(C30)</f>
        <v>4.4978810454933429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1.5</vt:lpstr>
      <vt:lpstr>1.4 PivotTable</vt:lpstr>
      <vt:lpstr>1.4 St Dev</vt:lpstr>
      <vt:lpstr>1.3 St 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Singh</dc:creator>
  <cp:lastModifiedBy>Pranjal Singh</cp:lastModifiedBy>
  <dcterms:created xsi:type="dcterms:W3CDTF">2024-09-11T18:36:07Z</dcterms:created>
  <dcterms:modified xsi:type="dcterms:W3CDTF">2024-09-12T20:52:32Z</dcterms:modified>
</cp:coreProperties>
</file>